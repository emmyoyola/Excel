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1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Excel skill for business\ESB 3\Week 6\"/>
    </mc:Choice>
  </mc:AlternateContent>
  <xr:revisionPtr revIDLastSave="1" documentId="13_ncr:1_{3F407B70-07CB-42EC-93A7-6614803E2D98}" xr6:coauthVersionLast="47" xr6:coauthVersionMax="47" xr10:uidLastSave="{7618D832-B0AB-4E3F-9BF2-7033E3753D92}"/>
  <bookViews>
    <workbookView xWindow="-120" yWindow="-120" windowWidth="20730" windowHeight="11160" tabRatio="869" firstSheet="4" activeTab="3" xr2:uid="{00000000-000D-0000-FFFF-FFFF00000000}"/>
  </bookViews>
  <sheets>
    <sheet name="Instructions " sheetId="14" r:id="rId1"/>
    <sheet name="Instruction" sheetId="1" state="hidden" r:id="rId2"/>
    <sheet name="Data Entry" sheetId="22" r:id="rId3"/>
    <sheet name="Table" sheetId="23" r:id="rId4"/>
    <sheet name="Invoice Template" sheetId="24" r:id="rId5"/>
    <sheet name="105" sheetId="36" r:id="rId6"/>
    <sheet name="106" sheetId="37" r:id="rId7"/>
  </sheets>
  <definedNames>
    <definedName name="Customer_Name">Table!$C$2:$C$8</definedName>
    <definedName name="Date">Table!$B$2:$B$8</definedName>
    <definedName name="Discount">Table!$G$2:$G$8</definedName>
    <definedName name="Fee_per_hour">Table!$E$2:$E$8</definedName>
    <definedName name="Hours_of_Service_Provided">Table!$D$2:$D$8</definedName>
    <definedName name="Invoice_Number">Table!$A$2:$A$8</definedName>
    <definedName name="Total">Table!$F$2:$F$8</definedName>
    <definedName name="Total_Amount_Due">Table!$H$2:$H$8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37" l="1"/>
  <c r="C15" i="37"/>
  <c r="C14" i="37"/>
  <c r="C7" i="37"/>
  <c r="B7" i="37"/>
  <c r="A7" i="37"/>
  <c r="B4" i="37"/>
  <c r="B2" i="37"/>
  <c r="C16" i="36"/>
  <c r="C15" i="36"/>
  <c r="C14" i="36"/>
  <c r="C7" i="36"/>
  <c r="B7" i="36"/>
  <c r="A7" i="36"/>
  <c r="B4" i="36"/>
  <c r="B2" i="36"/>
  <c r="C16" i="24" l="1"/>
  <c r="C15" i="24"/>
  <c r="C14" i="24"/>
  <c r="C7" i="24"/>
  <c r="B7" i="24"/>
  <c r="A7" i="24"/>
  <c r="A5" i="23"/>
  <c r="A6" i="23"/>
  <c r="A7" i="23"/>
  <c r="A8" i="23"/>
  <c r="F8" i="23" l="1"/>
  <c r="G8" i="23"/>
  <c r="H8" i="23"/>
  <c r="F7" i="23"/>
  <c r="G7" i="23"/>
  <c r="H7" i="23"/>
  <c r="F6" i="23"/>
  <c r="G6" i="23"/>
  <c r="H6" i="23"/>
  <c r="F5" i="23"/>
  <c r="G5" i="23"/>
  <c r="H5" i="23"/>
  <c r="A4" i="23" l="1"/>
  <c r="F4" i="23"/>
  <c r="G4" i="23"/>
  <c r="H4" i="23"/>
  <c r="F2" i="23"/>
  <c r="F3" i="23"/>
  <c r="G3" i="23"/>
  <c r="B1" i="1"/>
  <c r="H3" i="23" l="1"/>
  <c r="G2" i="23"/>
  <c r="H2" i="23" s="1"/>
  <c r="J2" i="23" s="1"/>
  <c r="B4" i="24" l="1"/>
  <c r="B2" i="24"/>
</calcChain>
</file>

<file path=xl/sharedStrings.xml><?xml version="1.0" encoding="utf-8"?>
<sst xmlns="http://schemas.openxmlformats.org/spreadsheetml/2006/main" count="93" uniqueCount="59">
  <si>
    <t>Excel Skills for Business: Intermediate II</t>
  </si>
  <si>
    <t>Week 6: Macros</t>
  </si>
  <si>
    <t>Practice Challenge</t>
  </si>
  <si>
    <t>Week 6: Learning Objectives</t>
  </si>
  <si>
    <t>Identify the Uses of Macros in Excel
Create Basic Macros to Automate Repetitive Tasks
Edit Macros to Extend their Functionality
Manage Macros Efficiently</t>
  </si>
  <si>
    <t>Scenario</t>
  </si>
  <si>
    <t>You have been asked to organise Invoicing and data management in Radmehr Accounting Services business</t>
  </si>
  <si>
    <r>
      <t xml:space="preserve">*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is for entering data for each customer</t>
    </r>
  </si>
  <si>
    <r>
      <t xml:space="preserve">*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 is the data base for invoices </t>
    </r>
  </si>
  <si>
    <r>
      <t xml:space="preserve">*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creates invoices for any selected invoice number</t>
    </r>
  </si>
  <si>
    <r>
      <t xml:space="preserve">You will need to complete the following tasks on the above mentioned sheets to update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 and prepare the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for the invoicing process</t>
    </r>
  </si>
  <si>
    <r>
      <t xml:space="preserve">Go to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sheet, convert it to a table and use Named Ranges on the columns</t>
    </r>
  </si>
  <si>
    <r>
      <t xml:space="preserve">Provide required formulas for </t>
    </r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Discount</t>
    </r>
    <r>
      <rPr>
        <sz val="11"/>
        <color theme="1"/>
        <rFont val="Calibri"/>
        <family val="2"/>
        <scheme val="minor"/>
      </rPr>
      <t xml:space="preserve"> (5% Discount for more than 10 hours service), </t>
    </r>
    <r>
      <rPr>
        <b/>
        <sz val="11"/>
        <color theme="1"/>
        <rFont val="Calibri"/>
        <family val="2"/>
        <scheme val="minor"/>
      </rPr>
      <t>Total Amount Due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Total Revenue</t>
    </r>
  </si>
  <si>
    <r>
      <t xml:space="preserve">Go to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sheet, enter </t>
    </r>
    <r>
      <rPr>
        <b/>
        <sz val="11"/>
        <color theme="1"/>
        <rFont val="Calibri"/>
        <family val="2"/>
        <scheme val="minor"/>
      </rPr>
      <t>Date</t>
    </r>
    <r>
      <rPr>
        <sz val="11"/>
        <color theme="1"/>
        <rFont val="Calibri"/>
        <family val="2"/>
        <scheme val="minor"/>
      </rPr>
      <t xml:space="preserve">: 2016-08-04, </t>
    </r>
    <r>
      <rPr>
        <b/>
        <sz val="11"/>
        <color theme="1"/>
        <rFont val="Calibri"/>
        <family val="2"/>
        <scheme val="minor"/>
      </rPr>
      <t>Customer Name</t>
    </r>
    <r>
      <rPr>
        <sz val="11"/>
        <color theme="1"/>
        <rFont val="Calibri"/>
        <family val="2"/>
        <scheme val="minor"/>
      </rPr>
      <t xml:space="preserve">: Rod Ltd, </t>
    </r>
    <r>
      <rPr>
        <b/>
        <sz val="11"/>
        <color theme="1"/>
        <rFont val="Calibri"/>
        <family val="2"/>
        <scheme val="minor"/>
      </rPr>
      <t>Hours of service provided</t>
    </r>
    <r>
      <rPr>
        <sz val="11"/>
        <color theme="1"/>
        <rFont val="Calibri"/>
        <family val="2"/>
        <scheme val="minor"/>
      </rPr>
      <t xml:space="preserve">: 22, and </t>
    </r>
    <r>
      <rPr>
        <b/>
        <sz val="11"/>
        <color theme="1"/>
        <rFont val="Calibri"/>
        <family val="2"/>
        <scheme val="minor"/>
      </rPr>
      <t>Fee</t>
    </r>
    <r>
      <rPr>
        <sz val="11"/>
        <color theme="1"/>
        <rFont val="Calibri"/>
        <family val="2"/>
        <scheme val="minor"/>
      </rPr>
      <t>: $50</t>
    </r>
  </si>
  <si>
    <r>
      <t xml:space="preserve">Create a new macro called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to transfer entered data from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to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sheet. (Hint: you will need to apply </t>
    </r>
    <r>
      <rPr>
        <b/>
        <sz val="11"/>
        <color theme="1"/>
        <rFont val="Calibri"/>
        <family val="2"/>
        <scheme val="minor"/>
      </rPr>
      <t>Use Relative References</t>
    </r>
    <r>
      <rPr>
        <sz val="11"/>
        <color theme="1"/>
        <rFont val="Calibri"/>
        <family val="2"/>
        <scheme val="minor"/>
      </rPr>
      <t xml:space="preserve"> in some parts of your macro)</t>
    </r>
  </si>
  <si>
    <r>
      <t xml:space="preserve">More hints about the macro: you can use Ctrl+Home and Ctrl+down arrow to go to the next available row. </t>
    </r>
    <r>
      <rPr>
        <b/>
        <sz val="11"/>
        <color theme="1"/>
        <rFont val="Calibri"/>
        <family val="2"/>
        <scheme val="minor"/>
      </rPr>
      <t>Invoice number</t>
    </r>
    <r>
      <rPr>
        <sz val="11"/>
        <color theme="1"/>
        <rFont val="Calibri"/>
        <family val="2"/>
        <scheme val="minor"/>
      </rPr>
      <t xml:space="preserve"> should be based on the previous invoice number</t>
    </r>
  </si>
  <si>
    <r>
      <t xml:space="preserve">Make sure before you stop recording the macro, you go back to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sheet, delete the current data and prepare it for the next entry</t>
    </r>
  </si>
  <si>
    <r>
      <t xml:space="preserve">Assign a button to the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macro in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</t>
    </r>
  </si>
  <si>
    <r>
      <t xml:space="preserve">Go to the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and provide all needed formulas based on the </t>
    </r>
    <r>
      <rPr>
        <b/>
        <sz val="11"/>
        <color theme="1"/>
        <rFont val="Calibri"/>
        <family val="2"/>
        <scheme val="minor"/>
      </rPr>
      <t>Invoice Number</t>
    </r>
    <r>
      <rPr>
        <sz val="11"/>
        <color theme="1"/>
        <rFont val="Calibri"/>
        <family val="2"/>
        <scheme val="minor"/>
      </rPr>
      <t xml:space="preserve"> (Hint: use VLOOKUP when needed)</t>
    </r>
  </si>
  <si>
    <r>
      <t xml:space="preserve">Create a new macro called </t>
    </r>
    <r>
      <rPr>
        <b/>
        <sz val="11"/>
        <color theme="1"/>
        <rFont val="Calibri"/>
        <family val="2"/>
        <scheme val="minor"/>
      </rPr>
      <t>Issue_Invoice</t>
    </r>
    <r>
      <rPr>
        <sz val="11"/>
        <color theme="1"/>
        <rFont val="Calibri"/>
        <family val="2"/>
        <scheme val="minor"/>
      </rPr>
      <t xml:space="preserve">, which should ask for an invoice number to issue an invoice, assign a button to the macro and place it in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</t>
    </r>
  </si>
  <si>
    <r>
      <t xml:space="preserve">Enter the following table in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one by one and use your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macro to transfer them to the</t>
    </r>
    <r>
      <rPr>
        <b/>
        <sz val="11"/>
        <color theme="1"/>
        <rFont val="Calibri"/>
        <family val="2"/>
        <scheme val="minor"/>
      </rPr>
      <t xml:space="preserve"> Table</t>
    </r>
    <r>
      <rPr>
        <sz val="11"/>
        <color theme="1"/>
        <rFont val="Calibri"/>
        <family val="2"/>
        <scheme val="minor"/>
      </rPr>
      <t xml:space="preserve"> sheet</t>
    </r>
  </si>
  <si>
    <t>Date</t>
  </si>
  <si>
    <t>Customer Name</t>
  </si>
  <si>
    <t>Hours of Service Provided</t>
  </si>
  <si>
    <t>Fee per hour</t>
  </si>
  <si>
    <t>Loil Pty Ltd</t>
  </si>
  <si>
    <t>King Pty Ltd</t>
  </si>
  <si>
    <t>Siroos Pty Ltd</t>
  </si>
  <si>
    <t>Behrooz Pty Ltd</t>
  </si>
  <si>
    <t>Issue invoices for the last 2 customers, make a copy of them and change the sheet name to the invoice number</t>
  </si>
  <si>
    <t>Make sure that you save your file properly to be able to have the macros active when you re-open them</t>
  </si>
  <si>
    <t>Well done! Don't forget to save your workbook.</t>
  </si>
  <si>
    <t>Student #</t>
  </si>
  <si>
    <t>Step 1:</t>
  </si>
  <si>
    <t xml:space="preserve">Enter your student number </t>
  </si>
  <si>
    <t>Step 2:</t>
  </si>
  <si>
    <t>Have a look to Customer Database sheet</t>
  </si>
  <si>
    <t>Step 3:</t>
  </si>
  <si>
    <t xml:space="preserve">Read Yellow Cells Directions for </t>
  </si>
  <si>
    <t>Red sheets</t>
  </si>
  <si>
    <t>Step 4:</t>
  </si>
  <si>
    <t>Complete and calculate the pink cells</t>
  </si>
  <si>
    <t>Data Entry</t>
  </si>
  <si>
    <t>Invoice Number</t>
  </si>
  <si>
    <t>Total</t>
  </si>
  <si>
    <t>Discount</t>
  </si>
  <si>
    <t>Total Amount Due</t>
  </si>
  <si>
    <t>Total Revenue</t>
  </si>
  <si>
    <t>Sami Pty Ltd</t>
  </si>
  <si>
    <t>Rod Ltd</t>
  </si>
  <si>
    <t>Radmehr Accounting Services</t>
  </si>
  <si>
    <t>Customer:</t>
  </si>
  <si>
    <t>Invoice Number:</t>
  </si>
  <si>
    <t>Invoice Date:</t>
  </si>
  <si>
    <t>Service Hours</t>
  </si>
  <si>
    <t>Rate per Hour</t>
  </si>
  <si>
    <t xml:space="preserve">Total </t>
  </si>
  <si>
    <t>Less 5% Discount (For more than 10 hours service)</t>
  </si>
  <si>
    <t>Total amount due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</si>
</sst>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* #,##0.00_-;\-&quot;$&quot;* #,##0.00_-;_-&quot;$&quot;* &quot;-&quot;??_-;_-@_-"/>
  </numFmts>
  <fonts count="2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5"/>
      <color theme="3"/>
      <name val="National Book"/>
      <family val="3"/>
    </font>
    <font>
      <sz val="11"/>
      <color theme="1"/>
      <name val="Newzald Book"/>
      <family val="3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28"/>
      <color theme="1"/>
      <name val="Arial"/>
      <family val="2"/>
    </font>
    <font>
      <sz val="24"/>
      <color theme="1"/>
      <name val="Arial"/>
      <family val="2"/>
    </font>
    <font>
      <b/>
      <i/>
      <sz val="24"/>
      <color theme="1"/>
      <name val="Calibri Light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164" fontId="4" fillId="0" borderId="0" applyFont="0" applyFill="0" applyBorder="0" applyAlignment="0" applyProtection="0"/>
    <xf numFmtId="0" fontId="4" fillId="0" borderId="0"/>
    <xf numFmtId="0" fontId="6" fillId="0" borderId="0"/>
    <xf numFmtId="0" fontId="8" fillId="0" borderId="7" applyNumberFormat="0" applyFill="0" applyAlignment="0" applyProtection="0"/>
    <xf numFmtId="0" fontId="5" fillId="0" borderId="0" applyNumberFormat="0" applyFill="0" applyBorder="0" applyAlignment="0" applyProtection="0"/>
    <xf numFmtId="0" fontId="9" fillId="0" borderId="0">
      <alignment vertical="top" wrapText="1"/>
    </xf>
  </cellStyleXfs>
  <cellXfs count="62">
    <xf numFmtId="0" fontId="0" fillId="0" borderId="0" xfId="0"/>
    <xf numFmtId="0" fontId="2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2" borderId="0" xfId="0" applyFill="1" applyProtection="1">
      <protection locked="0"/>
    </xf>
    <xf numFmtId="0" fontId="0" fillId="4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0" borderId="0" xfId="0" applyFont="1"/>
    <xf numFmtId="0" fontId="10" fillId="0" borderId="0" xfId="0" applyFont="1"/>
    <xf numFmtId="0" fontId="0" fillId="0" borderId="10" xfId="0" applyBorder="1"/>
    <xf numFmtId="0" fontId="0" fillId="0" borderId="4" xfId="0" applyBorder="1"/>
    <xf numFmtId="164" fontId="0" fillId="0" borderId="1" xfId="1" applyFont="1" applyBorder="1"/>
    <xf numFmtId="0" fontId="11" fillId="5" borderId="2" xfId="0" applyFont="1" applyFill="1" applyBorder="1"/>
    <xf numFmtId="0" fontId="13" fillId="5" borderId="1" xfId="0" applyFont="1" applyFill="1" applyBorder="1"/>
    <xf numFmtId="14" fontId="14" fillId="0" borderId="1" xfId="0" applyNumberFormat="1" applyFont="1" applyBorder="1"/>
    <xf numFmtId="0" fontId="14" fillId="0" borderId="0" xfId="0" applyFont="1"/>
    <xf numFmtId="0" fontId="14" fillId="0" borderId="1" xfId="0" applyFont="1" applyBorder="1"/>
    <xf numFmtId="0" fontId="14" fillId="0" borderId="1" xfId="1" applyNumberFormat="1" applyFont="1" applyBorder="1"/>
    <xf numFmtId="164" fontId="14" fillId="0" borderId="1" xfId="1" applyFont="1" applyBorder="1"/>
    <xf numFmtId="164" fontId="0" fillId="0" borderId="0" xfId="1" applyFont="1"/>
    <xf numFmtId="14" fontId="0" fillId="0" borderId="0" xfId="0" applyNumberFormat="1"/>
    <xf numFmtId="164" fontId="0" fillId="0" borderId="10" xfId="1" applyFont="1" applyBorder="1"/>
    <xf numFmtId="0" fontId="18" fillId="0" borderId="0" xfId="2" applyFont="1"/>
    <xf numFmtId="0" fontId="18" fillId="0" borderId="0" xfId="0" applyFont="1"/>
    <xf numFmtId="0" fontId="22" fillId="0" borderId="0" xfId="4" applyFont="1" applyBorder="1"/>
    <xf numFmtId="0" fontId="23" fillId="0" borderId="8" xfId="2" applyFont="1" applyBorder="1"/>
    <xf numFmtId="0" fontId="24" fillId="0" borderId="0" xfId="2" applyFont="1"/>
    <xf numFmtId="164" fontId="15" fillId="0" borderId="0" xfId="1" applyFont="1" applyBorder="1"/>
    <xf numFmtId="0" fontId="11" fillId="5" borderId="0" xfId="0" applyFont="1" applyFill="1"/>
    <xf numFmtId="0" fontId="13" fillId="5" borderId="0" xfId="0" applyFont="1" applyFill="1"/>
    <xf numFmtId="0" fontId="12" fillId="5" borderId="0" xfId="0" applyFont="1" applyFill="1"/>
    <xf numFmtId="0" fontId="13" fillId="0" borderId="0" xfId="0" applyFont="1"/>
    <xf numFmtId="0" fontId="13" fillId="4" borderId="0" xfId="0" applyFont="1" applyFill="1"/>
    <xf numFmtId="164" fontId="16" fillId="0" borderId="0" xfId="1" applyFont="1" applyBorder="1"/>
    <xf numFmtId="0" fontId="15" fillId="0" borderId="1" xfId="0" applyFont="1" applyBorder="1"/>
    <xf numFmtId="14" fontId="15" fillId="0" borderId="1" xfId="0" applyNumberFormat="1" applyFont="1" applyBorder="1"/>
    <xf numFmtId="164" fontId="15" fillId="0" borderId="1" xfId="1" applyFont="1" applyBorder="1"/>
    <xf numFmtId="0" fontId="4" fillId="0" borderId="0" xfId="2"/>
    <xf numFmtId="0" fontId="4" fillId="0" borderId="3" xfId="2" applyBorder="1"/>
    <xf numFmtId="0" fontId="6" fillId="0" borderId="0" xfId="3"/>
    <xf numFmtId="0" fontId="4" fillId="0" borderId="0" xfId="0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 indent="5"/>
    </xf>
    <xf numFmtId="0" fontId="12" fillId="5" borderId="2" xfId="0" applyFont="1" applyFill="1" applyBorder="1"/>
    <xf numFmtId="14" fontId="4" fillId="0" borderId="2" xfId="0" applyNumberFormat="1" applyFont="1" applyBorder="1"/>
    <xf numFmtId="0" fontId="4" fillId="0" borderId="1" xfId="0" applyFont="1" applyBorder="1"/>
    <xf numFmtId="0" fontId="4" fillId="0" borderId="1" xfId="1" applyNumberFormat="1" applyFont="1" applyBorder="1"/>
    <xf numFmtId="164" fontId="4" fillId="0" borderId="1" xfId="1" applyFont="1" applyBorder="1"/>
    <xf numFmtId="14" fontId="4" fillId="0" borderId="1" xfId="0" applyNumberFormat="1" applyFont="1" applyBorder="1"/>
    <xf numFmtId="0" fontId="4" fillId="0" borderId="0" xfId="0" applyFont="1" applyAlignment="1">
      <alignment vertical="center"/>
    </xf>
    <xf numFmtId="0" fontId="19" fillId="0" borderId="3" xfId="2" applyFont="1" applyBorder="1" applyAlignment="1">
      <alignment horizontal="center"/>
    </xf>
    <xf numFmtId="0" fontId="19" fillId="0" borderId="0" xfId="2" applyFont="1" applyAlignment="1">
      <alignment horizontal="center"/>
    </xf>
    <xf numFmtId="0" fontId="20" fillId="0" borderId="3" xfId="2" applyFont="1" applyBorder="1" applyAlignment="1">
      <alignment horizontal="center"/>
    </xf>
    <xf numFmtId="0" fontId="20" fillId="0" borderId="0" xfId="2" applyFont="1" applyAlignment="1">
      <alignment horizontal="center"/>
    </xf>
    <xf numFmtId="0" fontId="21" fillId="6" borderId="5" xfId="5" applyFont="1" applyFill="1" applyBorder="1" applyAlignment="1">
      <alignment horizontal="center"/>
    </xf>
    <xf numFmtId="0" fontId="21" fillId="6" borderId="9" xfId="5" applyFont="1" applyFill="1" applyBorder="1" applyAlignment="1">
      <alignment horizontal="center"/>
    </xf>
    <xf numFmtId="0" fontId="21" fillId="6" borderId="6" xfId="5" applyFont="1" applyFill="1" applyBorder="1" applyAlignment="1">
      <alignment horizontal="center"/>
    </xf>
    <xf numFmtId="0" fontId="4" fillId="0" borderId="0" xfId="0" applyFont="1" applyAlignment="1">
      <alignment vertical="top" wrapText="1"/>
    </xf>
    <xf numFmtId="0" fontId="17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</cellXfs>
  <cellStyles count="7">
    <cellStyle name="Moneda" xfId="1" builtinId="4"/>
    <cellStyle name="MQ Body" xfId="6" xr:uid="{00000000-0005-0000-0000-000001000000}"/>
    <cellStyle name="MQ Heading 1" xfId="4" xr:uid="{00000000-0005-0000-0000-000002000000}"/>
    <cellStyle name="Normal" xfId="0" builtinId="0"/>
    <cellStyle name="Normal 2 2" xfId="2" xr:uid="{00000000-0005-0000-0000-000004000000}"/>
    <cellStyle name="Normal 4" xfId="3" xr:uid="{00000000-0005-0000-0000-000005000000}"/>
    <cellStyle name="Title 2" xfId="5" xr:uid="{00000000-0005-0000-0000-000006000000}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d/mm/yyyy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650563</xdr:colOff>
      <xdr:row>5</xdr:row>
      <xdr:rowOff>261455</xdr:rowOff>
    </xdr:to>
    <xdr:pic>
      <xdr:nvPicPr>
        <xdr:cNvPr id="2" name="Picture 1" title="Macquarie University Logo">
          <a:extLst>
            <a:ext uri="{FF2B5EF4-FFF2-40B4-BE49-F238E27FC236}">
              <a16:creationId xmlns:a16="http://schemas.microsoft.com/office/drawing/2014/main" id="{E8BB5C62-572B-4F44-B550-A2E4829DCB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086"/>
        <a:stretch/>
      </xdr:blipFill>
      <xdr:spPr>
        <a:xfrm>
          <a:off x="0" y="0"/>
          <a:ext cx="4850030" cy="16499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2038350</xdr:colOff>
      <xdr:row>10</xdr:row>
      <xdr:rowOff>104775</xdr:rowOff>
    </xdr:from>
    <xdr:to>
      <xdr:col>3</xdr:col>
      <xdr:colOff>0</xdr:colOff>
      <xdr:row>13</xdr:row>
      <xdr:rowOff>47625</xdr:rowOff>
    </xdr:to>
    <xdr:sp macro="[0]!Transfe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C0B070A-5508-E637-390F-86DA69222D22}"/>
            </a:ext>
          </a:extLst>
        </xdr:cNvPr>
        <xdr:cNvSpPr/>
      </xdr:nvSpPr>
      <xdr:spPr>
        <a:xfrm>
          <a:off x="2647950" y="2657475"/>
          <a:ext cx="1447800" cy="5143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+mj-lt"/>
            </a:rPr>
            <a:t>Record</a:t>
          </a:r>
          <a:r>
            <a:rPr lang="es-CO" sz="1600" baseline="0">
              <a:latin typeface="+mj-lt"/>
            </a:rPr>
            <a:t> Data</a:t>
          </a:r>
          <a:endParaRPr lang="es-CO" sz="1600">
            <a:latin typeface="+mj-lt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47625</xdr:rowOff>
    </xdr:from>
    <xdr:to>
      <xdr:col>10</xdr:col>
      <xdr:colOff>28575</xdr:colOff>
      <xdr:row>4</xdr:row>
      <xdr:rowOff>85725</xdr:rowOff>
    </xdr:to>
    <xdr:sp macro="[0]!Issue_Invoic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5206182-F0AE-6859-9F14-DDC82CED158D}"/>
            </a:ext>
          </a:extLst>
        </xdr:cNvPr>
        <xdr:cNvSpPr/>
      </xdr:nvSpPr>
      <xdr:spPr>
        <a:xfrm>
          <a:off x="11277600" y="847725"/>
          <a:ext cx="1314450" cy="5715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>
              <a:solidFill>
                <a:schemeClr val="lt1"/>
              </a:solidFill>
              <a:latin typeface="+mn-lt"/>
              <a:ea typeface="+mn-lt"/>
              <a:cs typeface="+mn-lt"/>
            </a:rPr>
            <a:t>Issue</a:t>
          </a:r>
        </a:p>
        <a:p>
          <a:pPr marL="0" indent="0" algn="ctr"/>
          <a:r>
            <a:rPr lang="en-US" sz="1200">
              <a:solidFill>
                <a:schemeClr val="lt1"/>
              </a:solidFill>
              <a:latin typeface="+mn-lt"/>
              <a:ea typeface="+mn-lt"/>
              <a:cs typeface="+mn-lt"/>
            </a:rPr>
            <a:t>Invoice 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25EFBC-CABC-46B8-A5AE-802F3BFBB218}" name="Invoices" displayName="Invoices" ref="A1:H8" totalsRowShown="0" headerRowDxfId="17" dataDxfId="16" dataCellStyle="Moneda">
  <autoFilter ref="A1:H8" xr:uid="{0D25EFBC-CABC-46B8-A5AE-802F3BFBB218}"/>
  <tableColumns count="8">
    <tableColumn id="1" xr3:uid="{76F7F569-7FDC-4502-BAFA-0A96DE021B6A}" name="Invoice Number" dataDxfId="14" totalsRowDxfId="15"/>
    <tableColumn id="2" xr3:uid="{3332F1C2-2811-40D7-9573-84BAAA2C9E2C}" name="Date" dataDxfId="12" totalsRowDxfId="13"/>
    <tableColumn id="3" xr3:uid="{64027F19-1A37-4A6C-A6CA-F313E8866A2D}" name="Customer Name" dataDxfId="10" totalsRowDxfId="11"/>
    <tableColumn id="4" xr3:uid="{BE352AD8-1EA7-4F04-B3CF-A79D522601E6}" name="Hours of Service Provided" dataDxfId="8" totalsRowDxfId="9"/>
    <tableColumn id="5" xr3:uid="{31313CEA-2FE8-4C7F-9518-7EABE035F0A7}" name="Fee per hour" dataDxfId="6" totalsRowDxfId="7" dataCellStyle="Moneda" totalsRowCellStyle="Moneda"/>
    <tableColumn id="6" xr3:uid="{E3C411FF-7B80-4A2A-B77B-FE44C98BA428}" name="Total" dataDxfId="4" totalsRowDxfId="5" dataCellStyle="Moneda" totalsRowCellStyle="Moneda">
      <calculatedColumnFormula>Invoices[[#This Row],[Hours of Service Provided]]*Invoices[[#This Row],[Fee per hour]]</calculatedColumnFormula>
    </tableColumn>
    <tableColumn id="7" xr3:uid="{5D7A06BE-4047-4F9F-92E4-FCF937A6DC41}" name="Discount" dataDxfId="2" totalsRowDxfId="3" dataCellStyle="Moneda" totalsRowCellStyle="Moneda">
      <calculatedColumnFormula>IF(Invoices[[#This Row],[Hours of Service Provided]]&gt;10,Invoices[[#This Row],[Total]]*5%,0)</calculatedColumnFormula>
    </tableColumn>
    <tableColumn id="8" xr3:uid="{5D5C9E0F-5EF2-468A-B43F-A7D57EBDFA83}" name="Total Amount Due" dataDxfId="0" totalsRowDxfId="1" dataCellStyle="Moneda" totalsRowCellStyle="Moneda">
      <calculatedColumnFormula>Invoices[[#This Row],[Total]]-Invoices[[#This Row],[Discount]]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56"/>
  <sheetViews>
    <sheetView topLeftCell="A12" zoomScaleNormal="100" workbookViewId="0">
      <selection activeCell="F54" sqref="F54"/>
    </sheetView>
  </sheetViews>
  <sheetFormatPr defaultColWidth="9.85546875" defaultRowHeight="15"/>
  <cols>
    <col min="1" max="1" width="9.85546875" style="22"/>
    <col min="2" max="2" width="12.140625" style="22" customWidth="1"/>
    <col min="3" max="3" width="15.42578125" style="22" bestFit="1" customWidth="1"/>
    <col min="4" max="4" width="23.7109375" style="22" customWidth="1"/>
    <col min="5" max="5" width="12.7109375" style="22" customWidth="1"/>
    <col min="6" max="7" width="9.85546875" style="22"/>
    <col min="8" max="11" width="12.28515625" style="22" customWidth="1"/>
    <col min="12" max="12" width="39.5703125" style="22" customWidth="1"/>
    <col min="13" max="15" width="12.28515625" style="22" customWidth="1"/>
    <col min="16" max="16384" width="9.85546875" style="22"/>
  </cols>
  <sheetData>
    <row r="1" spans="1:15">
      <c r="A1" s="37"/>
      <c r="B1" s="37"/>
      <c r="C1" s="37"/>
      <c r="D1" s="37"/>
      <c r="E1" s="37"/>
      <c r="F1" s="37"/>
      <c r="G1" s="38"/>
      <c r="H1" s="37"/>
      <c r="I1" s="37"/>
      <c r="J1" s="37"/>
      <c r="K1" s="37"/>
      <c r="L1" s="37"/>
      <c r="M1" s="37"/>
      <c r="N1" s="37"/>
      <c r="O1" s="37"/>
    </row>
    <row r="2" spans="1:15" ht="34.5">
      <c r="A2" s="37"/>
      <c r="B2" s="37"/>
      <c r="C2" s="37"/>
      <c r="D2" s="37"/>
      <c r="E2" s="37"/>
      <c r="F2" s="37"/>
      <c r="G2" s="51" t="s">
        <v>0</v>
      </c>
      <c r="H2" s="52"/>
      <c r="I2" s="52"/>
      <c r="J2" s="52"/>
      <c r="K2" s="52"/>
      <c r="L2" s="52"/>
      <c r="M2" s="52"/>
      <c r="N2" s="52"/>
      <c r="O2" s="52"/>
    </row>
    <row r="3" spans="1:15">
      <c r="A3" s="37"/>
      <c r="B3" s="37"/>
      <c r="C3" s="37"/>
      <c r="D3" s="37"/>
      <c r="E3" s="37"/>
      <c r="F3" s="37"/>
      <c r="G3" s="38"/>
      <c r="H3" s="37"/>
      <c r="I3" s="37"/>
      <c r="J3" s="37"/>
      <c r="K3" s="37"/>
      <c r="L3" s="37"/>
      <c r="M3" s="37"/>
      <c r="N3" s="37"/>
      <c r="O3" s="37"/>
    </row>
    <row r="4" spans="1:15" ht="30">
      <c r="A4" s="37"/>
      <c r="B4" s="37"/>
      <c r="C4" s="37"/>
      <c r="D4" s="37"/>
      <c r="E4" s="37"/>
      <c r="F4" s="37"/>
      <c r="G4" s="53" t="s">
        <v>1</v>
      </c>
      <c r="H4" s="54"/>
      <c r="I4" s="54"/>
      <c r="J4" s="54"/>
      <c r="K4" s="54"/>
      <c r="L4" s="54"/>
      <c r="M4" s="54"/>
      <c r="N4" s="54"/>
      <c r="O4" s="54"/>
    </row>
    <row r="5" spans="1:15" ht="15.75" thickBot="1">
      <c r="A5" s="37"/>
      <c r="B5" s="37"/>
      <c r="C5" s="37"/>
      <c r="D5" s="37"/>
      <c r="E5" s="37"/>
      <c r="F5" s="37"/>
      <c r="G5" s="38"/>
      <c r="H5" s="37"/>
      <c r="I5" s="37"/>
      <c r="J5" s="37"/>
      <c r="K5" s="37"/>
      <c r="L5" s="37"/>
      <c r="M5" s="37"/>
      <c r="N5" s="37"/>
      <c r="O5" s="37"/>
    </row>
    <row r="6" spans="1:15" ht="32.25" thickBot="1">
      <c r="A6" s="37"/>
      <c r="B6" s="37"/>
      <c r="C6" s="37"/>
      <c r="D6" s="37"/>
      <c r="E6" s="37"/>
      <c r="F6" s="37"/>
      <c r="G6" s="38"/>
      <c r="H6" s="55" t="s">
        <v>2</v>
      </c>
      <c r="I6" s="56"/>
      <c r="J6" s="56"/>
      <c r="K6" s="56"/>
      <c r="L6" s="56"/>
      <c r="M6" s="56"/>
      <c r="N6" s="57"/>
      <c r="O6" s="39"/>
    </row>
    <row r="7" spans="1:15" s="23" customFormat="1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</row>
    <row r="8" spans="1:15" s="23" customFormat="1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</row>
    <row r="9" spans="1:15" s="23" customFormat="1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</row>
    <row r="10" spans="1:15" ht="18.75" thickBot="1">
      <c r="A10" s="24" t="s">
        <v>3</v>
      </c>
      <c r="B10" s="24"/>
      <c r="C10" s="24"/>
      <c r="D10" s="24"/>
      <c r="E10" s="24"/>
      <c r="F10" s="24"/>
      <c r="G10" s="39"/>
      <c r="H10" s="40"/>
      <c r="I10" s="40"/>
      <c r="J10" s="40"/>
      <c r="K10" s="40"/>
      <c r="L10" s="40"/>
      <c r="M10" s="40"/>
      <c r="N10" s="40"/>
      <c r="O10" s="40"/>
    </row>
    <row r="11" spans="1:15" ht="12.6" customHeight="1" thickTop="1">
      <c r="A11" s="25"/>
      <c r="B11" s="25"/>
      <c r="C11" s="25"/>
      <c r="D11" s="25"/>
      <c r="E11" s="25"/>
      <c r="F11" s="25"/>
      <c r="G11" s="25"/>
      <c r="H11" s="40"/>
      <c r="I11" s="40"/>
      <c r="J11" s="40"/>
      <c r="K11" s="40"/>
      <c r="L11" s="40"/>
      <c r="M11" s="40"/>
      <c r="N11" s="40"/>
      <c r="O11" s="40"/>
    </row>
    <row r="12" spans="1:15" ht="63.6" customHeight="1">
      <c r="A12" s="58" t="s">
        <v>4</v>
      </c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37"/>
    </row>
    <row r="13" spans="1:15" s="23" customFormat="1" ht="9" customHeight="1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</row>
    <row r="14" spans="1:15" s="23" customFormat="1" ht="5.45" customHeight="1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</row>
    <row r="15" spans="1:15" ht="18.75" thickBot="1">
      <c r="A15" s="24" t="s">
        <v>5</v>
      </c>
      <c r="B15" s="24"/>
      <c r="C15" s="24"/>
      <c r="D15" s="24"/>
      <c r="E15" s="24"/>
      <c r="F15" s="24"/>
      <c r="G15" s="39"/>
      <c r="H15" s="26"/>
      <c r="I15" s="37"/>
      <c r="J15" s="37"/>
      <c r="K15" s="37"/>
      <c r="L15" s="41"/>
      <c r="M15" s="37"/>
      <c r="N15" s="37"/>
      <c r="O15" s="37"/>
    </row>
    <row r="16" spans="1:15" ht="10.5" customHeight="1" thickTop="1">
      <c r="A16" s="25"/>
      <c r="B16" s="25"/>
      <c r="C16" s="25"/>
      <c r="D16" s="25"/>
      <c r="E16" s="25"/>
      <c r="F16" s="25"/>
      <c r="G16" s="25"/>
      <c r="H16" s="26"/>
      <c r="I16" s="37"/>
      <c r="J16" s="37"/>
      <c r="K16" s="37"/>
      <c r="L16" s="37"/>
      <c r="M16" s="37"/>
      <c r="N16" s="37"/>
      <c r="O16" s="37"/>
    </row>
    <row r="17" spans="1:2" s="23" customFormat="1">
      <c r="A17" s="40" t="s">
        <v>6</v>
      </c>
      <c r="B17" s="40"/>
    </row>
    <row r="18" spans="1:2" s="23" customFormat="1">
      <c r="A18" s="40"/>
      <c r="B18" s="40"/>
    </row>
    <row r="19" spans="1:2" s="23" customFormat="1">
      <c r="A19" s="40" t="s">
        <v>7</v>
      </c>
      <c r="B19" s="40"/>
    </row>
    <row r="20" spans="1:2" s="23" customFormat="1">
      <c r="A20" s="37" t="s">
        <v>8</v>
      </c>
      <c r="B20" s="40"/>
    </row>
    <row r="21" spans="1:2" s="23" customFormat="1">
      <c r="A21" s="40" t="s">
        <v>9</v>
      </c>
      <c r="B21" s="40"/>
    </row>
    <row r="22" spans="1:2" s="23" customFormat="1">
      <c r="A22" s="40"/>
      <c r="B22" s="40"/>
    </row>
    <row r="23" spans="1:2" s="23" customFormat="1">
      <c r="A23" s="40"/>
      <c r="B23" s="40"/>
    </row>
    <row r="24" spans="1:2" s="23" customFormat="1">
      <c r="A24" s="40" t="s">
        <v>10</v>
      </c>
      <c r="B24" s="40"/>
    </row>
    <row r="25" spans="1:2" s="23" customFormat="1">
      <c r="A25" s="40"/>
      <c r="B25" s="40"/>
    </row>
    <row r="26" spans="1:2">
      <c r="A26" s="37">
        <v>1</v>
      </c>
      <c r="B26" s="42" t="s">
        <v>11</v>
      </c>
    </row>
    <row r="27" spans="1:2">
      <c r="A27" s="37">
        <v>2</v>
      </c>
      <c r="B27" s="42" t="s">
        <v>12</v>
      </c>
    </row>
    <row r="28" spans="1:2">
      <c r="A28" s="37">
        <v>3</v>
      </c>
      <c r="B28" s="42" t="s">
        <v>13</v>
      </c>
    </row>
    <row r="29" spans="1:2">
      <c r="A29" s="37">
        <v>4</v>
      </c>
      <c r="B29" s="42" t="s">
        <v>14</v>
      </c>
    </row>
    <row r="30" spans="1:2">
      <c r="A30" s="37">
        <v>5</v>
      </c>
      <c r="B30" s="42" t="s">
        <v>15</v>
      </c>
    </row>
    <row r="31" spans="1:2">
      <c r="A31" s="37">
        <v>6</v>
      </c>
      <c r="B31" s="42" t="s">
        <v>16</v>
      </c>
    </row>
    <row r="32" spans="1:2">
      <c r="A32" s="37">
        <v>7</v>
      </c>
      <c r="B32" s="42" t="s">
        <v>17</v>
      </c>
    </row>
    <row r="33" spans="1:5">
      <c r="A33" s="37">
        <v>8</v>
      </c>
      <c r="B33" s="42" t="s">
        <v>18</v>
      </c>
      <c r="C33" s="37"/>
      <c r="D33" s="37"/>
      <c r="E33" s="37"/>
    </row>
    <row r="34" spans="1:5">
      <c r="A34" s="37">
        <v>9</v>
      </c>
      <c r="B34" s="42" t="s">
        <v>19</v>
      </c>
      <c r="C34" s="37"/>
      <c r="D34" s="37"/>
      <c r="E34" s="37"/>
    </row>
    <row r="35" spans="1:5">
      <c r="A35" s="37">
        <v>10</v>
      </c>
      <c r="B35" s="42" t="s">
        <v>20</v>
      </c>
      <c r="C35" s="37"/>
      <c r="D35" s="37"/>
      <c r="E35" s="37"/>
    </row>
    <row r="36" spans="1:5">
      <c r="A36" s="43"/>
      <c r="B36" s="37"/>
      <c r="C36" s="37"/>
      <c r="D36" s="37"/>
      <c r="E36" s="37"/>
    </row>
    <row r="37" spans="1:5">
      <c r="A37" s="43"/>
      <c r="B37" s="44" t="s">
        <v>21</v>
      </c>
      <c r="C37" s="44" t="s">
        <v>22</v>
      </c>
      <c r="D37" s="44" t="s">
        <v>23</v>
      </c>
      <c r="E37" s="44" t="s">
        <v>24</v>
      </c>
    </row>
    <row r="38" spans="1:5">
      <c r="A38" s="43"/>
      <c r="B38" s="45">
        <v>42592</v>
      </c>
      <c r="C38" s="46" t="s">
        <v>25</v>
      </c>
      <c r="D38" s="47">
        <v>30</v>
      </c>
      <c r="E38" s="48">
        <v>55</v>
      </c>
    </row>
    <row r="39" spans="1:5">
      <c r="A39" s="43"/>
      <c r="B39" s="45">
        <v>42603</v>
      </c>
      <c r="C39" s="46" t="s">
        <v>26</v>
      </c>
      <c r="D39" s="47">
        <v>60</v>
      </c>
      <c r="E39" s="48">
        <v>52</v>
      </c>
    </row>
    <row r="40" spans="1:5">
      <c r="A40" s="43"/>
      <c r="B40" s="45">
        <v>42611</v>
      </c>
      <c r="C40" s="46" t="s">
        <v>27</v>
      </c>
      <c r="D40" s="47">
        <v>20</v>
      </c>
      <c r="E40" s="48">
        <v>54</v>
      </c>
    </row>
    <row r="41" spans="1:5">
      <c r="A41" s="37"/>
      <c r="B41" s="49">
        <v>42614</v>
      </c>
      <c r="C41" s="46" t="s">
        <v>28</v>
      </c>
      <c r="D41" s="47">
        <v>9</v>
      </c>
      <c r="E41" s="48">
        <v>51</v>
      </c>
    </row>
    <row r="42" spans="1:5" s="23" customFormat="1">
      <c r="A42" s="40"/>
      <c r="B42" s="40"/>
      <c r="C42" s="40"/>
      <c r="D42" s="40"/>
      <c r="E42" s="40"/>
    </row>
    <row r="43" spans="1:5" s="23" customFormat="1">
      <c r="A43" s="40">
        <v>11</v>
      </c>
      <c r="B43" s="42" t="s">
        <v>29</v>
      </c>
      <c r="C43" s="40"/>
      <c r="D43" s="40"/>
      <c r="E43" s="40"/>
    </row>
    <row r="44" spans="1:5" s="23" customFormat="1">
      <c r="A44" s="40">
        <v>12</v>
      </c>
      <c r="B44" s="42" t="s">
        <v>30</v>
      </c>
      <c r="C44" s="40"/>
      <c r="D44" s="40"/>
      <c r="E44" s="40"/>
    </row>
    <row r="45" spans="1:5" s="23" customFormat="1">
      <c r="A45" s="40"/>
      <c r="B45" s="40"/>
      <c r="C45" s="40"/>
      <c r="D45" s="40"/>
      <c r="E45" s="40"/>
    </row>
    <row r="46" spans="1:5" s="23" customFormat="1">
      <c r="A46" s="40" t="s">
        <v>31</v>
      </c>
      <c r="B46" s="40"/>
      <c r="C46" s="40"/>
      <c r="D46" s="40"/>
      <c r="E46" s="40"/>
    </row>
    <row r="47" spans="1:5" s="23" customFormat="1">
      <c r="A47" s="40"/>
      <c r="B47" s="40"/>
      <c r="C47" s="40"/>
      <c r="D47" s="40"/>
      <c r="E47" s="40"/>
    </row>
    <row r="50" spans="1:1">
      <c r="A50" s="50"/>
    </row>
    <row r="51" spans="1:1">
      <c r="A51" s="43"/>
    </row>
    <row r="52" spans="1:1">
      <c r="A52" s="43"/>
    </row>
    <row r="53" spans="1:1">
      <c r="A53" s="50"/>
    </row>
    <row r="54" spans="1:1">
      <c r="A54" s="50"/>
    </row>
    <row r="55" spans="1:1">
      <c r="A55" s="50"/>
    </row>
    <row r="56" spans="1:1">
      <c r="A56" s="50"/>
    </row>
  </sheetData>
  <mergeCells count="4">
    <mergeCell ref="G2:O2"/>
    <mergeCell ref="G4:O4"/>
    <mergeCell ref="H6:N6"/>
    <mergeCell ref="A12:N12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62"/>
  <sheetViews>
    <sheetView zoomScale="140" zoomScaleNormal="140" workbookViewId="0">
      <selection activeCell="A5" sqref="A5"/>
    </sheetView>
  </sheetViews>
  <sheetFormatPr defaultColWidth="9.140625" defaultRowHeight="15"/>
  <cols>
    <col min="1" max="1" width="29.5703125" style="2" bestFit="1" customWidth="1"/>
    <col min="2" max="2" width="23.140625" style="2" bestFit="1" customWidth="1"/>
    <col min="3" max="6" width="9.140625" style="2"/>
    <col min="7" max="7" width="10.85546875" style="2" customWidth="1"/>
    <col min="8" max="8" width="10.5703125" style="2" customWidth="1"/>
    <col min="9" max="16384" width="9.140625" style="2"/>
  </cols>
  <sheetData>
    <row r="1" spans="1:8" ht="46.5">
      <c r="A1" s="1" t="s">
        <v>32</v>
      </c>
      <c r="B1" s="1" t="e">
        <f>+#REF!</f>
        <v>#REF!</v>
      </c>
      <c r="D1" s="2" t="s">
        <v>33</v>
      </c>
      <c r="E1" s="2" t="s">
        <v>34</v>
      </c>
    </row>
    <row r="2" spans="1:8">
      <c r="D2" s="2" t="s">
        <v>35</v>
      </c>
      <c r="E2" s="2" t="s">
        <v>36</v>
      </c>
    </row>
    <row r="3" spans="1:8">
      <c r="A3" s="3">
        <v>92</v>
      </c>
      <c r="D3" s="2" t="s">
        <v>37</v>
      </c>
      <c r="E3" s="4" t="s">
        <v>38</v>
      </c>
      <c r="F3" s="4"/>
      <c r="G3" s="4"/>
      <c r="H3" s="5" t="s">
        <v>39</v>
      </c>
    </row>
    <row r="4" spans="1:8">
      <c r="A4" s="3">
        <v>38</v>
      </c>
      <c r="D4" s="2" t="s">
        <v>40</v>
      </c>
      <c r="E4" s="6" t="s">
        <v>41</v>
      </c>
      <c r="F4" s="6"/>
      <c r="G4" s="6"/>
      <c r="H4" s="6"/>
    </row>
    <row r="5" spans="1:8">
      <c r="A5" s="3">
        <v>84</v>
      </c>
    </row>
    <row r="6" spans="1:8">
      <c r="A6" s="3">
        <v>37</v>
      </c>
    </row>
    <row r="7" spans="1:8">
      <c r="A7" s="3">
        <v>66</v>
      </c>
    </row>
    <row r="8" spans="1:8">
      <c r="A8" s="3">
        <v>27</v>
      </c>
    </row>
    <row r="9" spans="1:8">
      <c r="A9" s="3">
        <v>17</v>
      </c>
    </row>
    <row r="10" spans="1:8">
      <c r="A10" s="3">
        <v>49</v>
      </c>
    </row>
    <row r="11" spans="1:8">
      <c r="A11" s="3">
        <v>66</v>
      </c>
    </row>
    <row r="12" spans="1:8">
      <c r="A12" s="3">
        <v>17</v>
      </c>
    </row>
    <row r="13" spans="1:8">
      <c r="A13" s="3">
        <v>5</v>
      </c>
    </row>
    <row r="14" spans="1:8">
      <c r="A14" s="3">
        <v>12</v>
      </c>
    </row>
    <row r="15" spans="1:8">
      <c r="A15" s="3">
        <v>71</v>
      </c>
    </row>
    <row r="16" spans="1:8">
      <c r="A16" s="3">
        <v>5</v>
      </c>
    </row>
    <row r="17" spans="1:1">
      <c r="A17" s="3">
        <v>3</v>
      </c>
    </row>
    <row r="18" spans="1:1">
      <c r="A18" s="3">
        <v>27</v>
      </c>
    </row>
    <row r="19" spans="1:1">
      <c r="A19" s="3">
        <v>99</v>
      </c>
    </row>
    <row r="20" spans="1:1">
      <c r="A20" s="3">
        <v>3</v>
      </c>
    </row>
    <row r="21" spans="1:1">
      <c r="A21" s="3">
        <v>99</v>
      </c>
    </row>
    <row r="22" spans="1:1">
      <c r="A22" s="3">
        <v>49</v>
      </c>
    </row>
    <row r="23" spans="1:1">
      <c r="A23" s="3">
        <v>12</v>
      </c>
    </row>
    <row r="24" spans="1:1">
      <c r="A24" s="3">
        <v>12</v>
      </c>
    </row>
    <row r="25" spans="1:1">
      <c r="A25" s="3">
        <v>49</v>
      </c>
    </row>
    <row r="26" spans="1:1">
      <c r="A26" s="3">
        <v>84</v>
      </c>
    </row>
    <row r="27" spans="1:1">
      <c r="A27" s="3">
        <v>6</v>
      </c>
    </row>
    <row r="28" spans="1:1">
      <c r="A28" s="3">
        <v>71</v>
      </c>
    </row>
    <row r="29" spans="1:1">
      <c r="A29" s="3">
        <v>92</v>
      </c>
    </row>
    <row r="30" spans="1:1">
      <c r="A30" s="3">
        <v>99</v>
      </c>
    </row>
    <row r="31" spans="1:1">
      <c r="A31" s="3">
        <v>27</v>
      </c>
    </row>
    <row r="32" spans="1:1">
      <c r="A32" s="3">
        <v>6</v>
      </c>
    </row>
    <row r="33" spans="1:1">
      <c r="A33" s="3">
        <v>38</v>
      </c>
    </row>
    <row r="34" spans="1:1">
      <c r="A34" s="3">
        <v>27</v>
      </c>
    </row>
    <row r="35" spans="1:1">
      <c r="A35" s="3">
        <v>38</v>
      </c>
    </row>
    <row r="36" spans="1:1">
      <c r="A36" s="3">
        <v>92</v>
      </c>
    </row>
    <row r="37" spans="1:1">
      <c r="A37" s="3">
        <v>3</v>
      </c>
    </row>
    <row r="38" spans="1:1">
      <c r="A38" s="3">
        <v>84</v>
      </c>
    </row>
    <row r="39" spans="1:1">
      <c r="A39" s="3">
        <v>5</v>
      </c>
    </row>
    <row r="40" spans="1:1">
      <c r="A40" s="3">
        <v>5</v>
      </c>
    </row>
    <row r="41" spans="1:1">
      <c r="A41" s="3">
        <v>57</v>
      </c>
    </row>
    <row r="42" spans="1:1">
      <c r="A42" s="3">
        <v>3</v>
      </c>
    </row>
    <row r="43" spans="1:1">
      <c r="A43" s="3">
        <v>66</v>
      </c>
    </row>
    <row r="44" spans="1:1">
      <c r="A44" s="3">
        <v>5</v>
      </c>
    </row>
    <row r="45" spans="1:1">
      <c r="A45" s="3">
        <v>71</v>
      </c>
    </row>
    <row r="46" spans="1:1">
      <c r="A46" s="3">
        <v>38</v>
      </c>
    </row>
    <row r="47" spans="1:1">
      <c r="A47" s="3">
        <v>66</v>
      </c>
    </row>
    <row r="48" spans="1:1">
      <c r="A48" s="3">
        <v>57</v>
      </c>
    </row>
    <row r="49" spans="1:1">
      <c r="A49" s="3">
        <v>6</v>
      </c>
    </row>
    <row r="50" spans="1:1">
      <c r="A50" s="3">
        <v>5</v>
      </c>
    </row>
    <row r="51" spans="1:1">
      <c r="A51" s="3">
        <v>71</v>
      </c>
    </row>
    <row r="52" spans="1:1">
      <c r="A52" s="3">
        <v>57</v>
      </c>
    </row>
    <row r="53" spans="1:1">
      <c r="A53" s="3">
        <v>12</v>
      </c>
    </row>
    <row r="54" spans="1:1">
      <c r="A54" s="3">
        <v>5</v>
      </c>
    </row>
    <row r="55" spans="1:1">
      <c r="A55" s="3">
        <v>6</v>
      </c>
    </row>
    <row r="56" spans="1:1">
      <c r="A56" s="3">
        <v>17</v>
      </c>
    </row>
    <row r="57" spans="1:1">
      <c r="A57" s="3">
        <v>49</v>
      </c>
    </row>
    <row r="58" spans="1:1">
      <c r="A58" s="3">
        <v>5</v>
      </c>
    </row>
    <row r="59" spans="1:1">
      <c r="A59" s="3">
        <v>57</v>
      </c>
    </row>
    <row r="60" spans="1:1">
      <c r="A60" s="3">
        <v>99</v>
      </c>
    </row>
    <row r="61" spans="1:1">
      <c r="A61" s="3">
        <v>84</v>
      </c>
    </row>
    <row r="62" spans="1:1">
      <c r="A62" s="3">
        <v>17</v>
      </c>
    </row>
  </sheetData>
  <sheetProtection sheet="1" objects="1" scenarios="1" selectLockedCells="1" selectUnlockedCells="1"/>
  <pageMargins left="0.7" right="0.7" top="0.75" bottom="0.75" header="0.3" footer="0.3"/>
  <pageSetup paperSize="256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C15"/>
  <sheetViews>
    <sheetView zoomScaleNormal="100" workbookViewId="0">
      <selection activeCell="J7" sqref="J7"/>
    </sheetView>
  </sheetViews>
  <sheetFormatPr defaultColWidth="9.140625" defaultRowHeight="15"/>
  <cols>
    <col min="2" max="2" width="34.5703125" bestFit="1" customWidth="1"/>
    <col min="3" max="3" width="17.7109375" customWidth="1"/>
  </cols>
  <sheetData>
    <row r="2" spans="2:3" ht="36">
      <c r="B2" s="59" t="s">
        <v>42</v>
      </c>
      <c r="C2" s="59"/>
    </row>
    <row r="5" spans="2:3" ht="21">
      <c r="B5" s="13" t="s">
        <v>21</v>
      </c>
      <c r="C5" s="14"/>
    </row>
    <row r="6" spans="2:3" ht="21">
      <c r="B6" s="15"/>
      <c r="C6" s="15"/>
    </row>
    <row r="7" spans="2:3" ht="21">
      <c r="B7" s="13" t="s">
        <v>22</v>
      </c>
      <c r="C7" s="16"/>
    </row>
    <row r="8" spans="2:3" ht="21">
      <c r="B8" s="13" t="s">
        <v>23</v>
      </c>
      <c r="C8" s="17"/>
    </row>
    <row r="9" spans="2:3" ht="21">
      <c r="B9" s="13" t="s">
        <v>24</v>
      </c>
      <c r="C9" s="18"/>
    </row>
    <row r="10" spans="2:3">
      <c r="C10" s="19"/>
    </row>
    <row r="11" spans="2:3">
      <c r="C11" s="19"/>
    </row>
    <row r="12" spans="2:3">
      <c r="C12" s="19"/>
    </row>
    <row r="13" spans="2:3">
      <c r="C13" s="19"/>
    </row>
    <row r="14" spans="2:3">
      <c r="C14" s="19"/>
    </row>
    <row r="15" spans="2:3">
      <c r="C15" s="19"/>
    </row>
  </sheetData>
  <mergeCells count="1">
    <mergeCell ref="B2:C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8"/>
  <sheetViews>
    <sheetView tabSelected="1" workbookViewId="0">
      <selection activeCell="J8" sqref="J8"/>
    </sheetView>
  </sheetViews>
  <sheetFormatPr defaultColWidth="9.140625" defaultRowHeight="15"/>
  <cols>
    <col min="1" max="1" width="19" bestFit="1" customWidth="1"/>
    <col min="2" max="2" width="16.140625" bestFit="1" customWidth="1"/>
    <col min="3" max="3" width="23.85546875" bestFit="1" customWidth="1"/>
    <col min="4" max="4" width="26.28515625" bestFit="1" customWidth="1"/>
    <col min="5" max="5" width="19.5703125" bestFit="1" customWidth="1"/>
    <col min="6" max="6" width="14.42578125" bestFit="1" customWidth="1"/>
    <col min="7" max="7" width="14.28515625" bestFit="1" customWidth="1"/>
    <col min="8" max="8" width="26.42578125" bestFit="1" customWidth="1"/>
    <col min="10" max="10" width="19.28515625" bestFit="1" customWidth="1"/>
  </cols>
  <sheetData>
    <row r="1" spans="1:10" ht="21">
      <c r="A1" s="28" t="s">
        <v>43</v>
      </c>
      <c r="B1" s="29" t="s">
        <v>21</v>
      </c>
      <c r="C1" s="29" t="s">
        <v>22</v>
      </c>
      <c r="D1" s="30" t="s">
        <v>23</v>
      </c>
      <c r="E1" s="29" t="s">
        <v>24</v>
      </c>
      <c r="F1" s="29" t="s">
        <v>44</v>
      </c>
      <c r="G1" s="29" t="s">
        <v>45</v>
      </c>
      <c r="H1" s="29" t="s">
        <v>46</v>
      </c>
      <c r="I1" s="31"/>
      <c r="J1" s="32" t="s">
        <v>47</v>
      </c>
    </row>
    <row r="2" spans="1:10" ht="23.25">
      <c r="A2" s="34">
        <v>100</v>
      </c>
      <c r="B2" s="35">
        <v>42583</v>
      </c>
      <c r="C2" s="34" t="s">
        <v>48</v>
      </c>
      <c r="D2" s="34">
        <v>20</v>
      </c>
      <c r="E2" s="36">
        <v>50</v>
      </c>
      <c r="F2" s="36">
        <f>Invoices[[#This Row],[Hours of Service Provided]]*Invoices[[#This Row],[Fee per hour]]</f>
        <v>1000</v>
      </c>
      <c r="G2" s="36">
        <f>IF(Invoices[[#This Row],[Hours of Service Provided]]&gt;10,Invoices[[#This Row],[Total]]*5%,0)</f>
        <v>50</v>
      </c>
      <c r="H2" s="36">
        <f>Invoices[[#This Row],[Total]]-Invoices[[#This Row],[Discount]]</f>
        <v>950</v>
      </c>
      <c r="I2" s="27"/>
      <c r="J2" s="33">
        <f>SUM(Total_Amount_Due)</f>
        <v>8419.5</v>
      </c>
    </row>
    <row r="3" spans="1:10" ht="18.75">
      <c r="A3" s="34">
        <v>101</v>
      </c>
      <c r="B3" s="35">
        <v>42584</v>
      </c>
      <c r="C3" s="34" t="s">
        <v>26</v>
      </c>
      <c r="D3" s="34">
        <v>8</v>
      </c>
      <c r="E3" s="36">
        <v>51</v>
      </c>
      <c r="F3" s="36">
        <f>Invoices[[#This Row],[Hours of Service Provided]]*Invoices[[#This Row],[Fee per hour]]</f>
        <v>408</v>
      </c>
      <c r="G3" s="36">
        <f>IF(Invoices[[#This Row],[Hours of Service Provided]]&gt;10,Invoices[[#This Row],[Total]]*5%,0)</f>
        <v>0</v>
      </c>
      <c r="H3" s="36">
        <f>Invoices[[#This Row],[Total]]-Invoices[[#This Row],[Discount]]</f>
        <v>408</v>
      </c>
    </row>
    <row r="4" spans="1:10" ht="21">
      <c r="A4" s="34">
        <f>A3+1</f>
        <v>102</v>
      </c>
      <c r="B4" s="14">
        <v>42586</v>
      </c>
      <c r="C4" s="16" t="s">
        <v>49</v>
      </c>
      <c r="D4" s="17">
        <v>22</v>
      </c>
      <c r="E4" s="18">
        <v>50</v>
      </c>
      <c r="F4" s="36">
        <f>Invoices[[#This Row],[Hours of Service Provided]]*Invoices[[#This Row],[Fee per hour]]</f>
        <v>1100</v>
      </c>
      <c r="G4" s="36">
        <f>IF(Invoices[[#This Row],[Hours of Service Provided]]&gt;10,Invoices[[#This Row],[Total]]*5%,0)</f>
        <v>55</v>
      </c>
      <c r="H4" s="36">
        <f>Invoices[[#This Row],[Total]]-Invoices[[#This Row],[Discount]]</f>
        <v>1045</v>
      </c>
    </row>
    <row r="5" spans="1:10" ht="21">
      <c r="A5" s="34">
        <f t="shared" ref="A5:A8" si="0">A4+1</f>
        <v>103</v>
      </c>
      <c r="B5" s="14">
        <v>42592</v>
      </c>
      <c r="C5" s="16" t="s">
        <v>25</v>
      </c>
      <c r="D5" s="17">
        <v>30</v>
      </c>
      <c r="E5" s="18">
        <v>55</v>
      </c>
      <c r="F5" s="36">
        <f>Invoices[[#This Row],[Hours of Service Provided]]*Invoices[[#This Row],[Fee per hour]]</f>
        <v>1650</v>
      </c>
      <c r="G5" s="36">
        <f>IF(Invoices[[#This Row],[Hours of Service Provided]]&gt;10,Invoices[[#This Row],[Total]]*5%,0)</f>
        <v>82.5</v>
      </c>
      <c r="H5" s="36">
        <f>Invoices[[#This Row],[Total]]-Invoices[[#This Row],[Discount]]</f>
        <v>1567.5</v>
      </c>
    </row>
    <row r="6" spans="1:10" ht="21">
      <c r="A6" s="34">
        <f t="shared" si="0"/>
        <v>104</v>
      </c>
      <c r="B6" s="14">
        <v>42603</v>
      </c>
      <c r="C6" s="16" t="s">
        <v>26</v>
      </c>
      <c r="D6" s="17">
        <v>60</v>
      </c>
      <c r="E6" s="18">
        <v>52</v>
      </c>
      <c r="F6" s="36">
        <f>Invoices[[#This Row],[Hours of Service Provided]]*Invoices[[#This Row],[Fee per hour]]</f>
        <v>3120</v>
      </c>
      <c r="G6" s="36">
        <f>IF(Invoices[[#This Row],[Hours of Service Provided]]&gt;10,Invoices[[#This Row],[Total]]*5%,0)</f>
        <v>156</v>
      </c>
      <c r="H6" s="36">
        <f>Invoices[[#This Row],[Total]]-Invoices[[#This Row],[Discount]]</f>
        <v>2964</v>
      </c>
    </row>
    <row r="7" spans="1:10" ht="21">
      <c r="A7" s="34">
        <f t="shared" si="0"/>
        <v>105</v>
      </c>
      <c r="B7" s="14">
        <v>42611</v>
      </c>
      <c r="C7" s="16" t="s">
        <v>27</v>
      </c>
      <c r="D7" s="17">
        <v>20</v>
      </c>
      <c r="E7" s="18">
        <v>54</v>
      </c>
      <c r="F7" s="36">
        <f>Invoices[[#This Row],[Hours of Service Provided]]*Invoices[[#This Row],[Fee per hour]]</f>
        <v>1080</v>
      </c>
      <c r="G7" s="36">
        <f>IF(Invoices[[#This Row],[Hours of Service Provided]]&gt;10,Invoices[[#This Row],[Total]]*5%,0)</f>
        <v>54</v>
      </c>
      <c r="H7" s="36">
        <f>Invoices[[#This Row],[Total]]-Invoices[[#This Row],[Discount]]</f>
        <v>1026</v>
      </c>
    </row>
    <row r="8" spans="1:10" ht="21">
      <c r="A8" s="34">
        <f t="shared" si="0"/>
        <v>106</v>
      </c>
      <c r="B8" s="14">
        <v>42614</v>
      </c>
      <c r="C8" s="16" t="s">
        <v>28</v>
      </c>
      <c r="D8" s="17">
        <v>9</v>
      </c>
      <c r="E8" s="18">
        <v>51</v>
      </c>
      <c r="F8" s="36">
        <f>Invoices[[#This Row],[Hours of Service Provided]]*Invoices[[#This Row],[Fee per hour]]</f>
        <v>459</v>
      </c>
      <c r="G8" s="36">
        <f>IF(Invoices[[#This Row],[Hours of Service Provided]]&gt;10,Invoices[[#This Row],[Total]]*5%,0)</f>
        <v>0</v>
      </c>
      <c r="H8" s="36">
        <f>Invoices[[#This Row],[Total]]-Invoices[[#This Row],[Discount]]</f>
        <v>459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16"/>
  <sheetViews>
    <sheetView workbookViewId="0">
      <selection activeCell="B2" sqref="B2"/>
    </sheetView>
  </sheetViews>
  <sheetFormatPr defaultColWidth="9.140625" defaultRowHeight="15"/>
  <cols>
    <col min="1" max="3" width="18.85546875" customWidth="1"/>
  </cols>
  <sheetData>
    <row r="1" spans="1:3" ht="18.75">
      <c r="A1" s="8" t="s">
        <v>50</v>
      </c>
    </row>
    <row r="2" spans="1:3">
      <c r="A2" s="7" t="s">
        <v>51</v>
      </c>
      <c r="B2" t="str">
        <f>VLOOKUP($B$3,Invoices[],MATCH("Customer name",Invoices[#Headers],0),FALSE)</f>
        <v>Behrooz Pty Ltd</v>
      </c>
    </row>
    <row r="3" spans="1:3">
      <c r="A3" s="7" t="s">
        <v>52</v>
      </c>
      <c r="B3">
        <v>106</v>
      </c>
    </row>
    <row r="4" spans="1:3">
      <c r="A4" s="7" t="s">
        <v>53</v>
      </c>
      <c r="B4" s="20">
        <f>VLOOKUP($B$3,Invoices[],MATCH("Date",Invoices[#Headers],0),FALSE)</f>
        <v>42614</v>
      </c>
    </row>
    <row r="6" spans="1:3" ht="15.75">
      <c r="A6" s="12" t="s">
        <v>54</v>
      </c>
      <c r="B6" s="12" t="s">
        <v>55</v>
      </c>
      <c r="C6" s="12" t="s">
        <v>44</v>
      </c>
    </row>
    <row r="7" spans="1:3">
      <c r="A7" s="9">
        <f>VLOOKUP($B$3,Invoices[],MATCH("Hours of Service Provided",Invoices[#Headers],0),FALSE)</f>
        <v>9</v>
      </c>
      <c r="B7" s="9">
        <f>VLOOKUP($B$3,Invoices[],MATCH("Fee per hour",Invoices[#Headers],0),FALSE)</f>
        <v>51</v>
      </c>
      <c r="C7" s="21">
        <f>VLOOKUP($B$3,Invoices[],MATCH("Total",Invoices[#Headers],0),FALSE)</f>
        <v>459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60" t="s">
        <v>56</v>
      </c>
      <c r="B14" s="60"/>
      <c r="C14" s="11">
        <f>VLOOKUP($B$3,Invoices[],MATCH("Total",Invoices[#Headers],0),FALSE)</f>
        <v>459</v>
      </c>
    </row>
    <row r="15" spans="1:3">
      <c r="A15" s="61" t="s">
        <v>57</v>
      </c>
      <c r="B15" s="61"/>
      <c r="C15" s="11">
        <f>VLOOKUP($B$3,Invoices[],MATCH("Discount",Invoices[#Headers],0),FALSE)</f>
        <v>0</v>
      </c>
    </row>
    <row r="16" spans="1:3">
      <c r="A16" s="60" t="s">
        <v>58</v>
      </c>
      <c r="B16" s="60"/>
      <c r="C16" s="11">
        <f>VLOOKUP($B$3,Invoices[],MATCH("Total Amount Due",Invoices[#Headers],0),FALSE)</f>
        <v>459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FEEA-3F5C-431C-9ABB-87012533ECFB}">
  <sheetPr codeName="Sheet6"/>
  <dimension ref="A1:C16"/>
  <sheetViews>
    <sheetView workbookViewId="0">
      <selection activeCell="E18" sqref="E18"/>
    </sheetView>
  </sheetViews>
  <sheetFormatPr defaultColWidth="9.140625" defaultRowHeight="15"/>
  <cols>
    <col min="1" max="3" width="18.85546875" customWidth="1"/>
  </cols>
  <sheetData>
    <row r="1" spans="1:3" ht="18.75">
      <c r="A1" s="8" t="s">
        <v>50</v>
      </c>
    </row>
    <row r="2" spans="1:3">
      <c r="A2" s="7" t="s">
        <v>51</v>
      </c>
      <c r="B2" t="str">
        <f>VLOOKUP($B$3,Invoices[],MATCH("Customer name",Invoices[#Headers],0),FALSE)</f>
        <v>Siroos Pty Ltd</v>
      </c>
    </row>
    <row r="3" spans="1:3">
      <c r="A3" s="7" t="s">
        <v>52</v>
      </c>
      <c r="B3">
        <v>105</v>
      </c>
    </row>
    <row r="4" spans="1:3">
      <c r="A4" s="7" t="s">
        <v>53</v>
      </c>
      <c r="B4" s="20">
        <f>VLOOKUP($B$3,Invoices[],MATCH("Date",Invoices[#Headers],0),FALSE)</f>
        <v>42611</v>
      </c>
    </row>
    <row r="6" spans="1:3" ht="15.75">
      <c r="A6" s="12" t="s">
        <v>54</v>
      </c>
      <c r="B6" s="12" t="s">
        <v>55</v>
      </c>
      <c r="C6" s="12" t="s">
        <v>44</v>
      </c>
    </row>
    <row r="7" spans="1:3">
      <c r="A7" s="9">
        <f>VLOOKUP($B$3,Invoices[],MATCH("Hours of Service Provided",Invoices[#Headers],0),FALSE)</f>
        <v>20</v>
      </c>
      <c r="B7" s="9">
        <f>VLOOKUP($B$3,Invoices[],MATCH("Fee per hour",Invoices[#Headers],0),FALSE)</f>
        <v>54</v>
      </c>
      <c r="C7" s="21">
        <f>VLOOKUP($B$3,Invoices[],MATCH("Total",Invoices[#Headers],0),FALSE)</f>
        <v>1080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60" t="s">
        <v>56</v>
      </c>
      <c r="B14" s="60"/>
      <c r="C14" s="11">
        <f>VLOOKUP($B$3,Invoices[],MATCH("Total",Invoices[#Headers],0),FALSE)</f>
        <v>1080</v>
      </c>
    </row>
    <row r="15" spans="1:3">
      <c r="A15" s="61" t="s">
        <v>57</v>
      </c>
      <c r="B15" s="61"/>
      <c r="C15" s="11">
        <f>VLOOKUP($B$3,Invoices[],MATCH("Discount",Invoices[#Headers],0),FALSE)</f>
        <v>54</v>
      </c>
    </row>
    <row r="16" spans="1:3">
      <c r="A16" s="60" t="s">
        <v>58</v>
      </c>
      <c r="B16" s="60"/>
      <c r="C16" s="11">
        <f>VLOOKUP($B$3,Invoices[],MATCH("Total Amount Due",Invoices[#Headers],0),FALSE)</f>
        <v>1026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05F4-8E04-46E7-92FB-789D618F6C04}">
  <sheetPr codeName="Sheet7"/>
  <dimension ref="A1:C16"/>
  <sheetViews>
    <sheetView workbookViewId="0">
      <selection activeCell="B4" sqref="B4"/>
    </sheetView>
  </sheetViews>
  <sheetFormatPr defaultColWidth="9.140625" defaultRowHeight="15"/>
  <cols>
    <col min="1" max="3" width="18.85546875" customWidth="1"/>
  </cols>
  <sheetData>
    <row r="1" spans="1:3" ht="18.75">
      <c r="A1" s="8" t="s">
        <v>50</v>
      </c>
    </row>
    <row r="2" spans="1:3">
      <c r="A2" s="7" t="s">
        <v>51</v>
      </c>
      <c r="B2" t="str">
        <f>VLOOKUP($B$3,Invoices[],MATCH("Customer name",Invoices[#Headers],0),FALSE)</f>
        <v>Behrooz Pty Ltd</v>
      </c>
    </row>
    <row r="3" spans="1:3">
      <c r="A3" s="7" t="s">
        <v>52</v>
      </c>
      <c r="B3">
        <v>106</v>
      </c>
    </row>
    <row r="4" spans="1:3">
      <c r="A4" s="7" t="s">
        <v>53</v>
      </c>
      <c r="B4" s="20">
        <f>VLOOKUP($B$3,Invoices[],MATCH("Date",Invoices[#Headers],0),FALSE)</f>
        <v>42614</v>
      </c>
    </row>
    <row r="6" spans="1:3" ht="15.75">
      <c r="A6" s="12" t="s">
        <v>54</v>
      </c>
      <c r="B6" s="12" t="s">
        <v>55</v>
      </c>
      <c r="C6" s="12" t="s">
        <v>44</v>
      </c>
    </row>
    <row r="7" spans="1:3">
      <c r="A7" s="9">
        <f>VLOOKUP($B$3,Invoices[],MATCH("Hours of Service Provided",Invoices[#Headers],0),FALSE)</f>
        <v>9</v>
      </c>
      <c r="B7" s="9">
        <f>VLOOKUP($B$3,Invoices[],MATCH("Fee per hour",Invoices[#Headers],0),FALSE)</f>
        <v>51</v>
      </c>
      <c r="C7" s="21">
        <f>VLOOKUP($B$3,Invoices[],MATCH("Total",Invoices[#Headers],0),FALSE)</f>
        <v>459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60" t="s">
        <v>56</v>
      </c>
      <c r="B14" s="60"/>
      <c r="C14" s="11">
        <f>VLOOKUP($B$3,Invoices[],MATCH("Total",Invoices[#Headers],0),FALSE)</f>
        <v>459</v>
      </c>
    </row>
    <row r="15" spans="1:3">
      <c r="A15" s="61" t="s">
        <v>57</v>
      </c>
      <c r="B15" s="61"/>
      <c r="C15" s="11">
        <f>VLOOKUP($B$3,Invoices[],MATCH("Discount",Invoices[#Headers],0),FALSE)</f>
        <v>0</v>
      </c>
    </row>
    <row r="16" spans="1:3">
      <c r="A16" s="60" t="s">
        <v>58</v>
      </c>
      <c r="B16" s="60"/>
      <c r="C16" s="11">
        <f>VLOOKUP($B$3,Invoices[],MATCH("Total Amount Due",Invoices[#Headers],0),FALSE)</f>
        <v>459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Kent Institute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Behnaz Ortakand</dc:creator>
  <cp:keywords/>
  <dc:description/>
  <cp:lastModifiedBy>Emmy Oyola</cp:lastModifiedBy>
  <cp:revision/>
  <dcterms:created xsi:type="dcterms:W3CDTF">2016-08-30T01:18:10Z</dcterms:created>
  <dcterms:modified xsi:type="dcterms:W3CDTF">2023-05-26T14:37:13Z</dcterms:modified>
  <cp:category/>
  <cp:contentStatus/>
</cp:coreProperties>
</file>